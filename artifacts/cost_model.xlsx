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ealtime-analytics-pipeline-design\artifacts\"/>
    </mc:Choice>
  </mc:AlternateContent>
  <bookViews>
    <workbookView minimized="1" xWindow="0" yWindow="0" windowWidth="20490" windowHeight="7530" activeTab="1"/>
  </bookViews>
  <sheets>
    <sheet name="Assumptions" sheetId="1" r:id="rId1"/>
    <sheet name="Capacity" sheetId="2" r:id="rId2"/>
    <sheet name="Monthly Cost" sheetId="3" r:id="rId3"/>
  </sheets>
  <calcPr calcId="162913"/>
</workbook>
</file>

<file path=xl/calcChain.xml><?xml version="1.0" encoding="utf-8"?>
<calcChain xmlns="http://schemas.openxmlformats.org/spreadsheetml/2006/main">
  <c r="B12" i="3" l="1"/>
  <c r="B10" i="3"/>
  <c r="B9" i="3"/>
  <c r="B6" i="3"/>
  <c r="B5" i="3"/>
  <c r="B6" i="2"/>
  <c r="B7" i="2" s="1"/>
  <c r="B4" i="2"/>
  <c r="B5" i="2" s="1"/>
  <c r="B8" i="3" l="1"/>
  <c r="B4" i="3"/>
  <c r="B9" i="2"/>
  <c r="B7" i="3" s="1"/>
  <c r="B8" i="2"/>
  <c r="B11" i="3" l="1"/>
  <c r="B14" i="3" l="1"/>
  <c r="B13" i="3"/>
</calcChain>
</file>

<file path=xl/sharedStrings.xml><?xml version="1.0" encoding="utf-8"?>
<sst xmlns="http://schemas.openxmlformats.org/spreadsheetml/2006/main" count="105" uniqueCount="77">
  <si>
    <t>Real-Time Analytics Pipeline — Cost Model</t>
  </si>
  <si>
    <t>Blue = input you can change | Black = formula | Yellow = key assumption</t>
  </si>
  <si>
    <t>Assumption</t>
  </si>
  <si>
    <t>Value</t>
  </si>
  <si>
    <t>Label</t>
  </si>
  <si>
    <t>Basis / Source</t>
  </si>
  <si>
    <t>Events per day (steady state)</t>
  </si>
  <si>
    <t>Observed</t>
  </si>
  <si>
    <t>Given in brief: ~50M events/day from JS SDK</t>
  </si>
  <si>
    <t>Peak spike multiplier</t>
  </si>
  <si>
    <t>Given in brief: 10x spikes (Black Friday, launches)</t>
  </si>
  <si>
    <t>Avg event payload size (KB)</t>
  </si>
  <si>
    <t>Assumed</t>
  </si>
  <si>
    <t>Typical JSON event w/ properties+context; verify against real SDK payloads</t>
  </si>
  <si>
    <t>Number of tenants</t>
  </si>
  <si>
    <t>Given in brief: 500+ customers, multi-tenant</t>
  </si>
  <si>
    <t>Kinesis on-demand ingest rate ($/GB)</t>
  </si>
  <si>
    <t>Benchmarked</t>
  </si>
  <si>
    <t>AWS Kinesis Data Streams on-demand list price; verify current AWS pricing</t>
  </si>
  <si>
    <t>Managed Flink cost ($/KPU-hour)</t>
  </si>
  <si>
    <t>AWS Managed Service for Apache Flink list price; verify current AWS pricing</t>
  </si>
  <si>
    <t>Flink KPUs provisioned (24/7)</t>
  </si>
  <si>
    <t>Estimated</t>
  </si>
  <si>
    <t>Sized for stateful sessionization at peak; tune after load test</t>
  </si>
  <si>
    <t>ClickHouse EC2 node type cost ($/node/mo)</t>
  </si>
  <si>
    <t>Approx r6i.2xlarge on-demand + EBS, us-east-1; verify current AWS pricing</t>
  </si>
  <si>
    <t>ClickHouse nodes (cluster)</t>
  </si>
  <si>
    <t>Replicated 3-node cluster for HA + query throughput</t>
  </si>
  <si>
    <t>S3 storage cost ($/GB/mo)</t>
  </si>
  <si>
    <t>AWS S3 Standard list price; verify current AWS pricing</t>
  </si>
  <si>
    <t>Firehose delivery cost ($/GB)</t>
  </si>
  <si>
    <t>AWS Kinesis Firehose list price; verify current AWS pricing</t>
  </si>
  <si>
    <t>Redis + DynamoDB identity store ($/mo)</t>
  </si>
  <si>
    <t>ElastiCache node + DynamoDB on-demand for identity graph</t>
  </si>
  <si>
    <t>Monitoring/transfer/misc ($/mo)</t>
  </si>
  <si>
    <t>CloudWatch, data transfer, NAT, headroom buffer</t>
  </si>
  <si>
    <t>Data retention in hot store (months)</t>
  </si>
  <si>
    <t>Hot analytics window; older data served from S3/warehouse</t>
  </si>
  <si>
    <t>Monthly infra budget ceiling ($)</t>
  </si>
  <si>
    <t>Given in brief: $50K/month infrastructure ceiling</t>
  </si>
  <si>
    <t>Capacity Model</t>
  </si>
  <si>
    <t>Metric</t>
  </si>
  <si>
    <t>Formula basis</t>
  </si>
  <si>
    <t>Avg events/sec</t>
  </si>
  <si>
    <t>50M / seconds per day</t>
  </si>
  <si>
    <t>Peak events/sec (10x)</t>
  </si>
  <si>
    <t>avg/sec x spike multiplier</t>
  </si>
  <si>
    <t>Daily ingest volume (GB)</t>
  </si>
  <si>
    <t>events/day x KB / 1,048,576</t>
  </si>
  <si>
    <t>Monthly ingest volume (GB)</t>
  </si>
  <si>
    <t>daily GB x 30</t>
  </si>
  <si>
    <t>Monthly ingest volume (TB)</t>
  </si>
  <si>
    <t>monthly GB / 1024</t>
  </si>
  <si>
    <t>Hot store retained volume (TB)</t>
  </si>
  <si>
    <t>monthly GB x retention / 1024</t>
  </si>
  <si>
    <t>Monthly Cost Breakdown (AWS, us-east-1)</t>
  </si>
  <si>
    <t>Component</t>
  </si>
  <si>
    <t>Monthly $</t>
  </si>
  <si>
    <t>Kinesis Data Streams (ingest)</t>
  </si>
  <si>
    <t>monthly GB x $/GB ingest</t>
  </si>
  <si>
    <t>Managed Flink (stream processing)</t>
  </si>
  <si>
    <t>$/KPU-hr x KPUs x hrs/mo</t>
  </si>
  <si>
    <t>ClickHouse (hot store)</t>
  </si>
  <si>
    <t>$/node x nodes</t>
  </si>
  <si>
    <t>S3 (cold store / data lake)</t>
  </si>
  <si>
    <t>hot-store TB x 1024 x $/GB</t>
  </si>
  <si>
    <t>Firehose (delivery to S3)</t>
  </si>
  <si>
    <t>monthly GB x $/GB</t>
  </si>
  <si>
    <t>Identity store (Redis+DynamoDB)</t>
  </si>
  <si>
    <t>fixed monthly</t>
  </si>
  <si>
    <t>Monitoring / transfer / misc</t>
  </si>
  <si>
    <t>fixed monthly buffer</t>
  </si>
  <si>
    <t>TOTAL MONTHLY</t>
  </si>
  <si>
    <t>Budget ceiling</t>
  </si>
  <si>
    <t>Headroom vs ceiling</t>
  </si>
  <si>
    <t>Utilization of budget</t>
  </si>
  <si>
    <t>NOTE: All AWS unit prices are list-price approximations and must be verified against current AWS pricing before committing. Costs scale with real payload size — the #1 sensitivity. Reserved Instances / savings plans on ClickHouse EC2 and Flink would cut steady-state cost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</si>
</sst>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9"/>
      <name val="Arial"/>
    </font>
    <font>
      <b/>
      <sz val="13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7" fillId="0" borderId="0" xfId="0" applyFont="1"/>
    <xf numFmtId="0" fontId="6" fillId="0" borderId="1" xfId="0" applyFont="1" applyBorder="1"/>
    <xf numFmtId="164" fontId="4" fillId="0" borderId="1" xfId="0" applyNumberFormat="1" applyFont="1" applyBorder="1"/>
    <xf numFmtId="0" fontId="8" fillId="0" borderId="1" xfId="0" applyFont="1" applyBorder="1"/>
    <xf numFmtId="164" fontId="8" fillId="4" borderId="1" xfId="0" applyNumberFormat="1" applyFont="1" applyFill="1" applyBorder="1"/>
    <xf numFmtId="0" fontId="0" fillId="0" borderId="1" xfId="0" applyBorder="1"/>
    <xf numFmtId="0" fontId="4" fillId="0" borderId="0" xfId="0" applyFont="1"/>
    <xf numFmtId="164" fontId="4" fillId="0" borderId="0" xfId="0" applyNumberFormat="1" applyFont="1"/>
    <xf numFmtId="0" fontId="8" fillId="0" borderId="0" xfId="0" applyFont="1"/>
    <xf numFmtId="164" fontId="8" fillId="3" borderId="0" xfId="0" applyNumberFormat="1" applyFont="1" applyFill="1"/>
    <xf numFmtId="165" fontId="4" fillId="0" borderId="0" xfId="0" applyNumberFormat="1" applyFont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4" customWidth="1"/>
    <col min="4" max="4" width="58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50000000</v>
      </c>
      <c r="C5" s="6" t="s">
        <v>7</v>
      </c>
      <c r="D5" s="7" t="s">
        <v>8</v>
      </c>
    </row>
    <row r="6" spans="1:4" x14ac:dyDescent="0.25">
      <c r="A6" s="4" t="s">
        <v>9</v>
      </c>
      <c r="B6" s="5">
        <v>10</v>
      </c>
      <c r="C6" s="6" t="s">
        <v>7</v>
      </c>
      <c r="D6" s="7" t="s">
        <v>10</v>
      </c>
    </row>
    <row r="7" spans="1:4" ht="24" x14ac:dyDescent="0.25">
      <c r="A7" s="4" t="s">
        <v>11</v>
      </c>
      <c r="B7" s="8">
        <v>1</v>
      </c>
      <c r="C7" s="6" t="s">
        <v>12</v>
      </c>
      <c r="D7" s="7" t="s">
        <v>13</v>
      </c>
    </row>
    <row r="8" spans="1:4" x14ac:dyDescent="0.25">
      <c r="A8" s="4" t="s">
        <v>14</v>
      </c>
      <c r="B8" s="5">
        <v>500</v>
      </c>
      <c r="C8" s="6" t="s">
        <v>7</v>
      </c>
      <c r="D8" s="7" t="s">
        <v>15</v>
      </c>
    </row>
    <row r="9" spans="1:4" ht="24" x14ac:dyDescent="0.25">
      <c r="A9" s="4" t="s">
        <v>16</v>
      </c>
      <c r="B9" s="5">
        <v>0.08</v>
      </c>
      <c r="C9" s="6" t="s">
        <v>17</v>
      </c>
      <c r="D9" s="7" t="s">
        <v>18</v>
      </c>
    </row>
    <row r="10" spans="1:4" ht="24" x14ac:dyDescent="0.25">
      <c r="A10" s="4" t="s">
        <v>19</v>
      </c>
      <c r="B10" s="5">
        <v>0.11</v>
      </c>
      <c r="C10" s="6" t="s">
        <v>17</v>
      </c>
      <c r="D10" s="7" t="s">
        <v>20</v>
      </c>
    </row>
    <row r="11" spans="1:4" x14ac:dyDescent="0.25">
      <c r="A11" s="4" t="s">
        <v>21</v>
      </c>
      <c r="B11" s="5">
        <v>8</v>
      </c>
      <c r="C11" s="6" t="s">
        <v>22</v>
      </c>
      <c r="D11" s="7" t="s">
        <v>23</v>
      </c>
    </row>
    <row r="12" spans="1:4" ht="24" x14ac:dyDescent="0.25">
      <c r="A12" s="4" t="s">
        <v>24</v>
      </c>
      <c r="B12" s="5">
        <v>1100</v>
      </c>
      <c r="C12" s="6" t="s">
        <v>17</v>
      </c>
      <c r="D12" s="7" t="s">
        <v>25</v>
      </c>
    </row>
    <row r="13" spans="1:4" x14ac:dyDescent="0.25">
      <c r="A13" s="4" t="s">
        <v>26</v>
      </c>
      <c r="B13" s="5">
        <v>3</v>
      </c>
      <c r="C13" s="6" t="s">
        <v>22</v>
      </c>
      <c r="D13" s="7" t="s">
        <v>27</v>
      </c>
    </row>
    <row r="14" spans="1:4" x14ac:dyDescent="0.25">
      <c r="A14" s="4" t="s">
        <v>28</v>
      </c>
      <c r="B14" s="5">
        <v>2.3E-2</v>
      </c>
      <c r="C14" s="6" t="s">
        <v>17</v>
      </c>
      <c r="D14" s="7" t="s">
        <v>29</v>
      </c>
    </row>
    <row r="15" spans="1:4" x14ac:dyDescent="0.25">
      <c r="A15" s="4" t="s">
        <v>30</v>
      </c>
      <c r="B15" s="5">
        <v>2.9000000000000001E-2</v>
      </c>
      <c r="C15" s="6" t="s">
        <v>17</v>
      </c>
      <c r="D15" s="7" t="s">
        <v>31</v>
      </c>
    </row>
    <row r="16" spans="1:4" x14ac:dyDescent="0.25">
      <c r="A16" s="4" t="s">
        <v>32</v>
      </c>
      <c r="B16" s="5">
        <v>1200</v>
      </c>
      <c r="C16" s="6" t="s">
        <v>22</v>
      </c>
      <c r="D16" s="7" t="s">
        <v>33</v>
      </c>
    </row>
    <row r="17" spans="1:4" x14ac:dyDescent="0.25">
      <c r="A17" s="4" t="s">
        <v>34</v>
      </c>
      <c r="B17" s="5">
        <v>3000</v>
      </c>
      <c r="C17" s="6" t="s">
        <v>22</v>
      </c>
      <c r="D17" s="7" t="s">
        <v>35</v>
      </c>
    </row>
    <row r="18" spans="1:4" x14ac:dyDescent="0.25">
      <c r="A18" s="4" t="s">
        <v>36</v>
      </c>
      <c r="B18" s="8">
        <v>3</v>
      </c>
      <c r="C18" s="6" t="s">
        <v>12</v>
      </c>
      <c r="D18" s="7" t="s">
        <v>37</v>
      </c>
    </row>
    <row r="19" spans="1:4" x14ac:dyDescent="0.25">
      <c r="A19" s="4" t="s">
        <v>38</v>
      </c>
      <c r="B19" s="5">
        <v>50000</v>
      </c>
      <c r="C19" s="6" t="s">
        <v>7</v>
      </c>
      <c r="D19" s="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5" x14ac:dyDescent="0.25"/>
  <cols>
    <col min="1" max="1" width="40" customWidth="1"/>
    <col min="2" max="2" width="18" customWidth="1"/>
    <col min="3" max="3" width="12" customWidth="1"/>
    <col min="4" max="4" width="40" customWidth="1"/>
  </cols>
  <sheetData>
    <row r="1" spans="1:4" ht="16.5" x14ac:dyDescent="0.25">
      <c r="A1" s="9" t="s">
        <v>40</v>
      </c>
    </row>
    <row r="3" spans="1:4" x14ac:dyDescent="0.25">
      <c r="A3" s="3" t="s">
        <v>41</v>
      </c>
      <c r="B3" s="3" t="s">
        <v>3</v>
      </c>
      <c r="C3" s="3" t="s">
        <v>4</v>
      </c>
      <c r="D3" s="3" t="s">
        <v>42</v>
      </c>
    </row>
    <row r="4" spans="1:4" x14ac:dyDescent="0.25">
      <c r="A4" s="4" t="s">
        <v>43</v>
      </c>
      <c r="B4" s="6">
        <f>Assumptions!B5/86400</f>
        <v>578.7037037037037</v>
      </c>
      <c r="C4" s="6" t="s">
        <v>7</v>
      </c>
      <c r="D4" s="10" t="s">
        <v>44</v>
      </c>
    </row>
    <row r="5" spans="1:4" x14ac:dyDescent="0.25">
      <c r="A5" s="4" t="s">
        <v>45</v>
      </c>
      <c r="B5" s="6">
        <f>B4*Assumptions!B6</f>
        <v>5787.0370370370365</v>
      </c>
      <c r="C5" s="6" t="s">
        <v>22</v>
      </c>
      <c r="D5" s="10" t="s">
        <v>46</v>
      </c>
    </row>
    <row r="6" spans="1:4" x14ac:dyDescent="0.25">
      <c r="A6" s="4" t="s">
        <v>47</v>
      </c>
      <c r="B6" s="6">
        <f>Assumptions!B5*Assumptions!B7/1048576</f>
        <v>47.6837158203125</v>
      </c>
      <c r="C6" s="6" t="s">
        <v>22</v>
      </c>
      <c r="D6" s="10" t="s">
        <v>48</v>
      </c>
    </row>
    <row r="7" spans="1:4" x14ac:dyDescent="0.25">
      <c r="A7" s="4" t="s">
        <v>49</v>
      </c>
      <c r="B7" s="6">
        <f>B6*30</f>
        <v>1430.511474609375</v>
      </c>
      <c r="C7" s="6" t="s">
        <v>22</v>
      </c>
      <c r="D7" s="10" t="s">
        <v>50</v>
      </c>
    </row>
    <row r="8" spans="1:4" x14ac:dyDescent="0.25">
      <c r="A8" s="4" t="s">
        <v>51</v>
      </c>
      <c r="B8" s="6">
        <f>B7/1024</f>
        <v>1.3969838619232178</v>
      </c>
      <c r="C8" s="6" t="s">
        <v>22</v>
      </c>
      <c r="D8" s="10" t="s">
        <v>52</v>
      </c>
    </row>
    <row r="9" spans="1:4" x14ac:dyDescent="0.25">
      <c r="A9" s="4" t="s">
        <v>53</v>
      </c>
      <c r="B9" s="6">
        <f>B7*Assumptions!B18/1024</f>
        <v>4.1909515857696533</v>
      </c>
      <c r="C9" s="6" t="s">
        <v>22</v>
      </c>
      <c r="D9" s="10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1" max="1" width="34" customWidth="1"/>
    <col min="2" max="2" width="16" customWidth="1"/>
    <col min="3" max="3" width="12" customWidth="1"/>
    <col min="4" max="4" width="44" customWidth="1"/>
  </cols>
  <sheetData>
    <row r="1" spans="1:4" ht="16.5" x14ac:dyDescent="0.25">
      <c r="A1" s="9" t="s">
        <v>55</v>
      </c>
    </row>
    <row r="3" spans="1:4" x14ac:dyDescent="0.25">
      <c r="A3" s="3" t="s">
        <v>56</v>
      </c>
      <c r="B3" s="3" t="s">
        <v>57</v>
      </c>
      <c r="C3" s="3" t="s">
        <v>4</v>
      </c>
      <c r="D3" s="3" t="s">
        <v>42</v>
      </c>
    </row>
    <row r="4" spans="1:4" x14ac:dyDescent="0.25">
      <c r="A4" s="4" t="s">
        <v>58</v>
      </c>
      <c r="B4" s="11">
        <f>Capacity!B7*Assumptions!B9</f>
        <v>114.44091796875</v>
      </c>
      <c r="C4" s="6" t="s">
        <v>22</v>
      </c>
      <c r="D4" s="10" t="s">
        <v>59</v>
      </c>
    </row>
    <row r="5" spans="1:4" x14ac:dyDescent="0.25">
      <c r="A5" s="4" t="s">
        <v>60</v>
      </c>
      <c r="B5" s="11">
        <f>Assumptions!B10*Assumptions!B11*730</f>
        <v>642.4</v>
      </c>
      <c r="C5" s="6" t="s">
        <v>22</v>
      </c>
      <c r="D5" s="10" t="s">
        <v>61</v>
      </c>
    </row>
    <row r="6" spans="1:4" x14ac:dyDescent="0.25">
      <c r="A6" s="4" t="s">
        <v>62</v>
      </c>
      <c r="B6" s="11">
        <f>Assumptions!B12*Assumptions!B13</f>
        <v>3300</v>
      </c>
      <c r="C6" s="6" t="s">
        <v>22</v>
      </c>
      <c r="D6" s="10" t="s">
        <v>63</v>
      </c>
    </row>
    <row r="7" spans="1:4" x14ac:dyDescent="0.25">
      <c r="A7" s="4" t="s">
        <v>64</v>
      </c>
      <c r="B7" s="11">
        <f>Capacity!B9*1024*Assumptions!B14</f>
        <v>98.705291748046875</v>
      </c>
      <c r="C7" s="6" t="s">
        <v>22</v>
      </c>
      <c r="D7" s="10" t="s">
        <v>65</v>
      </c>
    </row>
    <row r="8" spans="1:4" x14ac:dyDescent="0.25">
      <c r="A8" s="4" t="s">
        <v>66</v>
      </c>
      <c r="B8" s="11">
        <f>Capacity!B7*Assumptions!B15</f>
        <v>41.484832763671875</v>
      </c>
      <c r="C8" s="6" t="s">
        <v>22</v>
      </c>
      <c r="D8" s="10" t="s">
        <v>67</v>
      </c>
    </row>
    <row r="9" spans="1:4" x14ac:dyDescent="0.25">
      <c r="A9" s="4" t="s">
        <v>68</v>
      </c>
      <c r="B9" s="11">
        <f>Assumptions!B16</f>
        <v>1200</v>
      </c>
      <c r="C9" s="6" t="s">
        <v>22</v>
      </c>
      <c r="D9" s="10" t="s">
        <v>69</v>
      </c>
    </row>
    <row r="10" spans="1:4" x14ac:dyDescent="0.25">
      <c r="A10" s="4" t="s">
        <v>70</v>
      </c>
      <c r="B10" s="11">
        <f>Assumptions!B17</f>
        <v>3000</v>
      </c>
      <c r="C10" s="6" t="s">
        <v>22</v>
      </c>
      <c r="D10" s="10" t="s">
        <v>71</v>
      </c>
    </row>
    <row r="11" spans="1:4" x14ac:dyDescent="0.25">
      <c r="A11" s="12" t="s">
        <v>72</v>
      </c>
      <c r="B11" s="13">
        <f>SUM(B4:B10)</f>
        <v>8397.0310424804684</v>
      </c>
      <c r="C11" s="14"/>
      <c r="D11" s="14"/>
    </row>
    <row r="12" spans="1:4" x14ac:dyDescent="0.25">
      <c r="A12" s="15" t="s">
        <v>73</v>
      </c>
      <c r="B12" s="16">
        <f>Assumptions!B19</f>
        <v>50000</v>
      </c>
    </row>
    <row r="13" spans="1:4" x14ac:dyDescent="0.25">
      <c r="A13" s="17" t="s">
        <v>74</v>
      </c>
      <c r="B13" s="18">
        <f>B12-B11</f>
        <v>41602.96895751953</v>
      </c>
    </row>
    <row r="14" spans="1:4" x14ac:dyDescent="0.25">
      <c r="A14" s="15" t="s">
        <v>75</v>
      </c>
      <c r="B14" s="19">
        <f>B11/B12</f>
        <v>0.16794062084960937</v>
      </c>
    </row>
    <row r="16" spans="1:4" x14ac:dyDescent="0.25">
      <c r="A16" s="20" t="s">
        <v>76</v>
      </c>
      <c r="B16" s="21"/>
      <c r="C16" s="21"/>
      <c r="D16" s="21"/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Capacity</vt:lpstr>
      <vt:lpstr>Monthly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ZUBAIR</cp:lastModifiedBy>
  <dcterms:created xsi:type="dcterms:W3CDTF">2026-07-02T04:29:59Z</dcterms:created>
  <dcterms:modified xsi:type="dcterms:W3CDTF">2026-07-02T04:56:02Z</dcterms:modified>
</cp:coreProperties>
</file>